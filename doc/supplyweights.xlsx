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noRepo\new-world-cities\sub\nw-tier4\"/>
    </mc:Choice>
  </mc:AlternateContent>
  <xr:revisionPtr revIDLastSave="0" documentId="13_ncr:1_{9D2AF8D8-31B2-48C1-885B-91FA3CE01704}" xr6:coauthVersionLast="47" xr6:coauthVersionMax="47" xr10:uidLastSave="{00000000-0000-0000-0000-000000000000}"/>
  <bookViews>
    <workbookView xWindow="28680" yWindow="-120" windowWidth="29040" windowHeight="15720" xr2:uid="{1BA5B0CF-9016-4ACE-9E8E-DEDF4F9D1C1B}"/>
  </bookViews>
  <sheets>
    <sheet name="Magnete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" i="1" l="1"/>
  <c r="J4" i="1" s="1"/>
  <c r="N4" i="1" s="1"/>
  <c r="E5" i="1"/>
  <c r="J5" i="1" s="1"/>
  <c r="E7" i="1"/>
  <c r="J7" i="1" s="1"/>
  <c r="E6" i="1"/>
  <c r="E9" i="1"/>
  <c r="J9" i="1" s="1"/>
  <c r="E10" i="1"/>
  <c r="J10" i="1" s="1"/>
  <c r="E11" i="1"/>
  <c r="J11" i="1" s="1"/>
  <c r="E12" i="1"/>
  <c r="J12" i="1" s="1"/>
  <c r="J8" i="1" l="1"/>
  <c r="J6" i="1"/>
  <c r="O11" i="1"/>
  <c r="L11" i="1"/>
  <c r="N11" i="1"/>
  <c r="L5" i="1"/>
  <c r="N5" i="1"/>
  <c r="O5" i="1"/>
  <c r="L10" i="1"/>
  <c r="N10" i="1"/>
  <c r="O10" i="1"/>
  <c r="N9" i="1"/>
  <c r="O9" i="1"/>
  <c r="L9" i="1"/>
  <c r="N7" i="1"/>
  <c r="L7" i="1"/>
  <c r="O7" i="1"/>
  <c r="O12" i="1"/>
  <c r="L12" i="1"/>
  <c r="N12" i="1"/>
  <c r="L4" i="1"/>
  <c r="O4" i="1"/>
  <c r="L8" i="1"/>
  <c r="N8" i="1"/>
  <c r="O8" i="1"/>
  <c r="L6" i="1" l="1"/>
  <c r="O6" i="1"/>
  <c r="N6" i="1"/>
</calcChain>
</file>

<file path=xl/sharedStrings.xml><?xml version="1.0" encoding="utf-8"?>
<sst xmlns="http://schemas.openxmlformats.org/spreadsheetml/2006/main" count="23" uniqueCount="23">
  <si>
    <t>Green Tea</t>
  </si>
  <si>
    <t>Porcelain</t>
  </si>
  <si>
    <t>Sake</t>
  </si>
  <si>
    <t>CycleTime</t>
  </si>
  <si>
    <t>Houses per Factory</t>
  </si>
  <si>
    <t>SupplyWeight</t>
  </si>
  <si>
    <t>Sushi</t>
  </si>
  <si>
    <t>Umeshu</t>
  </si>
  <si>
    <t>Gongren</t>
  </si>
  <si>
    <t>Hats</t>
  </si>
  <si>
    <t>Roast Duck</t>
  </si>
  <si>
    <t>Koto</t>
  </si>
  <si>
    <t>Remarks</t>
  </si>
  <si>
    <t>Trade Price</t>
  </si>
  <si>
    <t>Breakeven</t>
  </si>
  <si>
    <t>Desired Fac</t>
  </si>
  <si>
    <t>Eyeball</t>
  </si>
  <si>
    <t>Exact Desired MV</t>
  </si>
  <si>
    <t>Deviation in %</t>
  </si>
  <si>
    <t>Abs Deviation</t>
  </si>
  <si>
    <t>Total:</t>
  </si>
  <si>
    <t>Kimono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</si>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</sst>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5B14-FC4A-47EB-BD64-819F51582417}">
  <dimension ref="A1:Q68"/>
  <sheetViews>
    <sheetView tabSelected="1" zoomScale="85" zoomScaleNormal="85" workbookViewId="0">
      <selection activeCell="I15" sqref="I15"/>
    </sheetView>
  </sheetViews>
  <sheetFormatPr baseColWidth="10" defaultRowHeight="15" x14ac:dyDescent="0.25"/>
  <cols>
    <col min="1" max="1" width="20" customWidth="1"/>
    <col min="3" max="3" width="23.28515625" customWidth="1"/>
    <col min="5" max="5" width="17.5703125" customWidth="1"/>
    <col min="7" max="7" width="56.7109375" customWidth="1"/>
    <col min="9" max="9" width="26.7109375" customWidth="1"/>
    <col min="10" max="10" width="23.7109375" customWidth="1"/>
    <col min="11" max="11" width="11.5703125" customWidth="1"/>
    <col min="12" max="12" width="19.42578125" customWidth="1"/>
    <col min="13" max="13" width="10.28515625" customWidth="1"/>
    <col min="14" max="14" width="17.5703125" customWidth="1"/>
    <col min="15" max="15" width="14.5703125" customWidth="1"/>
  </cols>
  <sheetData>
    <row r="1" spans="1:17" x14ac:dyDescent="0.25">
      <c r="A1" t="s">
        <v>22</v>
      </c>
      <c r="B1" t="s">
        <v>3</v>
      </c>
      <c r="C1" t="s">
        <v>4</v>
      </c>
      <c r="E1" t="s">
        <v>5</v>
      </c>
      <c r="G1" t="s">
        <v>12</v>
      </c>
      <c r="I1" t="s">
        <v>13</v>
      </c>
      <c r="J1" t="s">
        <v>14</v>
      </c>
      <c r="K1" t="s">
        <v>15</v>
      </c>
      <c r="L1" t="s">
        <v>17</v>
      </c>
      <c r="M1" t="s">
        <v>16</v>
      </c>
      <c r="N1" t="s">
        <v>18</v>
      </c>
      <c r="O1" t="s">
        <v>19</v>
      </c>
      <c r="Q1" t="s">
        <v>20</v>
      </c>
    </row>
    <row r="3" spans="1:17" x14ac:dyDescent="0.25">
      <c r="A3" s="1" t="s">
        <v>8</v>
      </c>
      <c r="N3" s="2"/>
    </row>
    <row r="4" spans="1:17" x14ac:dyDescent="0.25">
      <c r="A4" t="s">
        <v>6</v>
      </c>
      <c r="B4">
        <v>30</v>
      </c>
      <c r="C4">
        <v>40</v>
      </c>
      <c r="E4">
        <f t="shared" ref="E4:E20" si="0">(1/(B4*C4))</f>
        <v>8.3333333333333339E-4</v>
      </c>
      <c r="I4">
        <v>210</v>
      </c>
      <c r="J4">
        <f>E4 * I4 * 100</f>
        <v>17.5</v>
      </c>
      <c r="K4">
        <v>1.5</v>
      </c>
      <c r="L4">
        <f>J4 * K4</f>
        <v>26.25</v>
      </c>
      <c r="M4">
        <v>25</v>
      </c>
      <c r="N4" s="2">
        <f xml:space="preserve"> (1 - M4/J4) * - 1</f>
        <v>0.4285714285714286</v>
      </c>
      <c r="O4">
        <f>M4-J4</f>
        <v>7.5</v>
      </c>
    </row>
    <row r="5" spans="1:17" x14ac:dyDescent="0.25">
      <c r="A5" t="s">
        <v>0</v>
      </c>
      <c r="B5">
        <v>45</v>
      </c>
      <c r="C5">
        <v>30</v>
      </c>
      <c r="E5">
        <f t="shared" si="0"/>
        <v>7.407407407407407E-4</v>
      </c>
      <c r="I5">
        <v>100</v>
      </c>
      <c r="J5">
        <f>E5 * I5 * 100</f>
        <v>7.4074074074074066</v>
      </c>
      <c r="K5">
        <v>1.5</v>
      </c>
      <c r="L5">
        <f>J5 * K5</f>
        <v>11.111111111111111</v>
      </c>
      <c r="M5">
        <v>10</v>
      </c>
      <c r="N5" s="2">
        <f xml:space="preserve"> (1 - M5/J5) * - 1</f>
        <v>0.35000000000000009</v>
      </c>
      <c r="O5">
        <f>M5-J5</f>
        <v>2.5925925925925934</v>
      </c>
    </row>
    <row r="6" spans="1:17" x14ac:dyDescent="0.25">
      <c r="A6" t="s">
        <v>9</v>
      </c>
      <c r="B6">
        <v>60</v>
      </c>
      <c r="C6">
        <v>40</v>
      </c>
      <c r="E6">
        <f>(1/(B6*C6))</f>
        <v>4.1666666666666669E-4</v>
      </c>
      <c r="I6">
        <v>110</v>
      </c>
      <c r="J6">
        <f t="shared" ref="J6" si="1">E6 * I6 * 100</f>
        <v>4.5833333333333339</v>
      </c>
      <c r="K6">
        <v>1.5</v>
      </c>
      <c r="L6">
        <f t="shared" ref="L6" si="2">J6 * K6</f>
        <v>6.8750000000000009</v>
      </c>
      <c r="M6">
        <v>10</v>
      </c>
      <c r="N6" s="2">
        <f t="shared" ref="N6" si="3" xml:space="preserve"> (1 - M6/J6) * - 1</f>
        <v>1.1818181818181817</v>
      </c>
      <c r="O6">
        <f t="shared" ref="O6" si="4">M6-J6</f>
        <v>5.4166666666666661</v>
      </c>
    </row>
    <row r="7" spans="1:17" x14ac:dyDescent="0.25">
      <c r="A7" t="s">
        <v>7</v>
      </c>
      <c r="B7">
        <v>30</v>
      </c>
      <c r="C7">
        <v>35</v>
      </c>
      <c r="E7">
        <f t="shared" si="0"/>
        <v>9.5238095238095238E-4</v>
      </c>
      <c r="I7">
        <v>96</v>
      </c>
      <c r="J7">
        <f>E7 * I7 * 100</f>
        <v>9.1428571428571423</v>
      </c>
      <c r="K7">
        <v>1.5</v>
      </c>
      <c r="L7">
        <f>J7 * K7</f>
        <v>13.714285714285714</v>
      </c>
      <c r="M7">
        <v>15</v>
      </c>
      <c r="N7" s="2">
        <f xml:space="preserve"> (1 - M7/J7) * - 1</f>
        <v>0.640625</v>
      </c>
      <c r="O7">
        <f>M7-J7</f>
        <v>5.8571428571428577</v>
      </c>
    </row>
    <row r="8" spans="1:17" x14ac:dyDescent="0.25">
      <c r="A8" t="s">
        <v>21</v>
      </c>
      <c r="B8">
        <v>60</v>
      </c>
      <c r="C8">
        <v>80</v>
      </c>
      <c r="E8">
        <f t="shared" si="0"/>
        <v>2.0833333333333335E-4</v>
      </c>
      <c r="I8">
        <v>1088</v>
      </c>
      <c r="J8">
        <f>E6 * I8 * 100</f>
        <v>45.333333333333336</v>
      </c>
      <c r="K8">
        <v>1.5</v>
      </c>
      <c r="L8">
        <f>J8 * K8</f>
        <v>68</v>
      </c>
      <c r="M8">
        <v>70</v>
      </c>
      <c r="N8" s="2">
        <f xml:space="preserve"> (1 - M8/J8) * - 1</f>
        <v>0.54411764705882337</v>
      </c>
      <c r="O8">
        <f>M8-J8</f>
        <v>24.666666666666664</v>
      </c>
    </row>
    <row r="9" spans="1:17" x14ac:dyDescent="0.25">
      <c r="A9" t="s">
        <v>10</v>
      </c>
      <c r="B9">
        <v>30</v>
      </c>
      <c r="C9">
        <v>50</v>
      </c>
      <c r="E9">
        <f t="shared" si="0"/>
        <v>6.6666666666666664E-4</v>
      </c>
      <c r="I9">
        <v>450</v>
      </c>
      <c r="J9">
        <f>E9 * I9 * 100</f>
        <v>30</v>
      </c>
      <c r="K9">
        <v>1.5</v>
      </c>
      <c r="L9">
        <f>J9 * K9</f>
        <v>45</v>
      </c>
      <c r="M9">
        <v>45</v>
      </c>
      <c r="N9" s="2">
        <f xml:space="preserve"> (1 - M9/J9) * - 1</f>
        <v>0.5</v>
      </c>
      <c r="O9">
        <f>M9-J9</f>
        <v>15</v>
      </c>
    </row>
    <row r="10" spans="1:17" x14ac:dyDescent="0.25">
      <c r="A10" t="s">
        <v>11</v>
      </c>
      <c r="B10">
        <v>90</v>
      </c>
      <c r="C10">
        <v>90</v>
      </c>
      <c r="E10">
        <f t="shared" si="0"/>
        <v>1.2345679012345679E-4</v>
      </c>
      <c r="I10">
        <v>2528</v>
      </c>
      <c r="J10">
        <f>E10 * I10 * 100</f>
        <v>31.209876543209873</v>
      </c>
      <c r="K10">
        <v>1.5</v>
      </c>
      <c r="L10">
        <f>J10 * K10</f>
        <v>46.81481481481481</v>
      </c>
      <c r="M10">
        <v>45</v>
      </c>
      <c r="N10" s="2">
        <f xml:space="preserve"> (1 - M10/J10) * - 1</f>
        <v>0.44185126582278489</v>
      </c>
      <c r="O10">
        <f>M10-J10</f>
        <v>13.790123456790127</v>
      </c>
    </row>
    <row r="11" spans="1:17" x14ac:dyDescent="0.25">
      <c r="A11" t="s">
        <v>1</v>
      </c>
      <c r="B11">
        <v>60</v>
      </c>
      <c r="C11">
        <v>50</v>
      </c>
      <c r="E11">
        <f t="shared" si="0"/>
        <v>3.3333333333333332E-4</v>
      </c>
      <c r="I11">
        <v>735</v>
      </c>
      <c r="J11">
        <f>E11 * I11 * 100</f>
        <v>24.5</v>
      </c>
      <c r="K11">
        <v>2.5</v>
      </c>
      <c r="L11">
        <f>J11 * K11</f>
        <v>61.25</v>
      </c>
      <c r="M11">
        <v>60</v>
      </c>
      <c r="N11" s="2">
        <f xml:space="preserve"> (1 - M11/J11) * - 1</f>
        <v>1.4489795918367347</v>
      </c>
      <c r="O11">
        <f>M11-J11</f>
        <v>35.5</v>
      </c>
    </row>
    <row r="12" spans="1:17" x14ac:dyDescent="0.25">
      <c r="A12" t="s">
        <v>2</v>
      </c>
      <c r="B12">
        <v>45</v>
      </c>
      <c r="C12">
        <v>90</v>
      </c>
      <c r="E12">
        <f t="shared" si="0"/>
        <v>2.4691358024691359E-4</v>
      </c>
      <c r="I12">
        <v>952</v>
      </c>
      <c r="J12">
        <f>E12 * I12 * 100</f>
        <v>23.506172839506174</v>
      </c>
      <c r="K12">
        <v>2.5</v>
      </c>
      <c r="L12">
        <f>J12 * K12</f>
        <v>58.765432098765437</v>
      </c>
      <c r="M12">
        <v>60</v>
      </c>
      <c r="N12" s="2">
        <f xml:space="preserve"> (1 - M12/J12) * - 1</f>
        <v>1.5525210084033612</v>
      </c>
      <c r="O12">
        <f>M12-J12</f>
        <v>36.493827160493822</v>
      </c>
    </row>
    <row r="13" spans="1:17" x14ac:dyDescent="0.25">
      <c r="N13" s="2"/>
    </row>
    <row r="14" spans="1:17" x14ac:dyDescent="0.25">
      <c r="N14" s="2"/>
    </row>
    <row r="15" spans="1:17" x14ac:dyDescent="0.25">
      <c r="N15" s="2"/>
    </row>
    <row r="16" spans="1:17" x14ac:dyDescent="0.25">
      <c r="N16" s="2"/>
    </row>
    <row r="17" spans="14:14" x14ac:dyDescent="0.25">
      <c r="N17" s="2"/>
    </row>
    <row r="18" spans="14:14" x14ac:dyDescent="0.25">
      <c r="N18" s="2"/>
    </row>
    <row r="19" spans="14:14" x14ac:dyDescent="0.25">
      <c r="N19" s="2"/>
    </row>
    <row r="20" spans="14:14" x14ac:dyDescent="0.25">
      <c r="N20" s="2"/>
    </row>
    <row r="21" spans="14:14" x14ac:dyDescent="0.25">
      <c r="N21" s="2"/>
    </row>
    <row r="22" spans="14:14" x14ac:dyDescent="0.25">
      <c r="N22" s="2"/>
    </row>
    <row r="23" spans="14:14" x14ac:dyDescent="0.25">
      <c r="N23" s="2"/>
    </row>
    <row r="24" spans="14:14" x14ac:dyDescent="0.25">
      <c r="N24" s="2"/>
    </row>
    <row r="68" spans="14:14" x14ac:dyDescent="0.25">
      <c r="N68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Magneten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Lennard Montag</dc:creator>
  <cp:lastModifiedBy>Lennard Montag</cp:lastModifiedBy>
  <dcterms:created xsi:type="dcterms:W3CDTF">2024-04-03T22:16:00Z</dcterms:created>
  <dcterms:modified xsi:type="dcterms:W3CDTF">2025-07-29T02:33:31Z</dcterms:modified>
</cp:coreProperties>
</file>